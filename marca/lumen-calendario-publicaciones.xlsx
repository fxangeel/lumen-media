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alendario" sheetId="2" state="visible" r:id="rId2"/>
    <sheet xmlns:r="http://schemas.openxmlformats.org/officeDocument/2006/relationships" name="Resultados" sheetId="3" state="visible" r:id="rId3"/>
  </sheets>
  <definedNames>
    <definedName name="_xlnm._FilterDatabase" localSheetId="1" hidden="1">'Calendario'!$A$4:$K$16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4">
    <font>
      <name val="Calibri"/>
      <family val="2"/>
      <color theme="1"/>
      <sz val="11"/>
      <scheme val="minor"/>
    </font>
    <font>
      <name val="Arial"/>
      <b val="1"/>
      <color rgb="00082F34"/>
      <sz val="16"/>
    </font>
    <font>
      <name val="Arial"/>
      <i val="1"/>
      <color rgb="0064748B"/>
      <sz val="9"/>
    </font>
    <font>
      <name val="Arial"/>
      <b val="1"/>
      <color rgb="00FFFFFF"/>
      <sz val="10"/>
    </font>
    <font>
      <name val="Arial"/>
      <color rgb="000F172A"/>
      <sz val="10"/>
    </font>
    <font>
      <name val="Arial"/>
      <b val="1"/>
      <color rgb="00082F34"/>
      <sz val="10"/>
    </font>
    <font>
      <name val="Arial"/>
      <color rgb="000563C1"/>
      <sz val="10"/>
      <u val="single"/>
    </font>
    <font>
      <name val="Arial"/>
      <color rgb="00008000"/>
      <sz val="10"/>
    </font>
    <font>
      <name val="Arial"/>
      <b val="1"/>
      <color rgb="000F172A"/>
      <sz val="10"/>
    </font>
    <font>
      <name val="Arial"/>
      <b val="1"/>
      <color rgb="0064748B"/>
      <sz val="9"/>
    </font>
    <font>
      <name val="Arial"/>
      <color rgb="0064748B"/>
      <sz val="9"/>
    </font>
    <font>
      <name val="Arial"/>
      <b val="1"/>
      <color rgb="00082F34"/>
      <sz val="11"/>
    </font>
    <font>
      <name val="Arial"/>
      <color rgb="000000FF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082F34"/>
      </patternFill>
    </fill>
    <fill>
      <patternFill patternType="solid">
        <fgColor rgb="00E6F7F4"/>
      </patternFill>
    </fill>
    <fill>
      <patternFill patternType="solid">
        <fgColor rgb="00F1F5F9"/>
      </patternFill>
    </fill>
    <fill>
      <patternFill patternType="solid">
        <fgColor rgb="00CCFBF1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top"/>
    </xf>
    <xf numFmtId="1" fontId="8" fillId="5" borderId="1" applyAlignment="1" pivotButton="0" quotePrefix="0" xfId="0">
      <alignment horizontal="center" vertical="top"/>
    </xf>
    <xf numFmtId="3" fontId="8" fillId="5" borderId="1" applyAlignment="1" pivotButton="0" quotePrefix="0" xfId="0">
      <alignment horizontal="center" vertical="top"/>
    </xf>
    <xf numFmtId="0" fontId="11" fillId="0" borderId="0" pivotButton="0" quotePrefix="0" xfId="0"/>
    <xf numFmtId="0" fontId="4" fillId="0" borderId="1" applyAlignment="1" pivotButton="0" quotePrefix="0" xfId="0">
      <alignment vertical="top"/>
    </xf>
    <xf numFmtId="3" fontId="12" fillId="6" borderId="1" applyAlignment="1" pivotButton="0" quotePrefix="0" xfId="0">
      <alignment horizontal="center" vertical="top"/>
    </xf>
    <xf numFmtId="1" fontId="13" fillId="5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vertical="top" wrapText="1"/>
    </xf>
    <xf numFmtId="164" fontId="4" fillId="3" borderId="1" applyAlignment="1" pivotButton="0" quotePrefix="0" xfId="0">
      <alignment horizontal="center" vertical="top"/>
    </xf>
    <xf numFmtId="3" fontId="4" fillId="3" borderId="1" applyAlignment="1" pivotButton="0" quotePrefix="0" xfId="0">
      <alignment horizontal="center" vertical="top"/>
    </xf>
    <xf numFmtId="165" fontId="4" fillId="3" borderId="1" applyAlignment="1" pivotButton="0" quotePrefix="0" xfId="0">
      <alignment horizontal="center" vertical="top"/>
    </xf>
    <xf numFmtId="3" fontId="4" fillId="4" borderId="1" applyAlignment="1" pivotButton="0" quotePrefix="0" xfId="0">
      <alignment horizontal="center" vertical="top"/>
    </xf>
    <xf numFmtId="165" fontId="4" fillId="4" borderId="1" applyAlignment="1" pivotButton="0" quotePrefix="0" xfId="0">
      <alignment horizontal="center" vertical="top"/>
    </xf>
    <xf numFmtId="0" fontId="8" fillId="0" borderId="1" applyAlignment="1" pivotButton="0" quotePrefix="0" xfId="0">
      <alignment vertical="top"/>
    </xf>
    <xf numFmtId="165" fontId="8" fillId="5" borderId="1" applyAlignment="1" pivotButton="0" quotePrefix="0" xfId="0">
      <alignment horizontal="center" vertical="top"/>
    </xf>
    <xf numFmtId="164" fontId="8" fillId="5" borderId="1" applyAlignment="1" pivotButton="0" quotePrefix="0" xfId="0">
      <alignment horizontal="center" vertical="top"/>
    </xf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dxfs count="2">
    <dxf>
      <font>
        <name val="Arial"/>
        <b val="1"/>
        <color rgb="000F766E"/>
      </font>
      <fill>
        <patternFill patternType="solid">
          <fgColor rgb="00CCFBF1"/>
        </patternFill>
      </fill>
    </dxf>
    <dxf>
      <font>
        <name val="Arial"/>
        <b val="1"/>
        <color rgb="00075985"/>
      </font>
      <fill>
        <patternFill patternType="solid">
          <fgColor rgb="00E0F2F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instagram.com/reel/DehiSD7DYrn/" TargetMode="External" Id="rId1"/><Relationship Type="http://schemas.openxmlformats.org/officeDocument/2006/relationships/hyperlink" Target="https://www.tiktok.com/@Lumen%20Web%20Design/video/769698333184968629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1" t="inlineStr">
        <is>
          <t>Resumen</t>
        </is>
      </c>
    </row>
    <row r="2">
      <c r="A2" s="2" t="inlineStr">
        <is>
          <t>Se actualiza solo con lo que pongas en Calendario y Resultados.</t>
        </is>
      </c>
    </row>
    <row r="4">
      <c r="A4" s="3" t="inlineStr">
        <is>
          <t>Videos creados</t>
        </is>
      </c>
      <c r="B4" s="4">
        <f>MAX(Calendario!A5:A100)</f>
        <v/>
      </c>
    </row>
    <row r="5">
      <c r="A5" s="3" t="inlineStr">
        <is>
          <t>Publicaciones totales</t>
        </is>
      </c>
      <c r="B5" s="4">
        <f>COUNTA(Calendario!E5:E100)</f>
        <v/>
      </c>
    </row>
    <row r="6">
      <c r="A6" s="3" t="inlineStr">
        <is>
          <t>Publicadas</t>
        </is>
      </c>
      <c r="B6" s="4">
        <f>COUNTIF(Calendario!F5:F100,"Publicado")</f>
        <v/>
      </c>
    </row>
    <row r="7">
      <c r="A7" s="3" t="inlineStr">
        <is>
          <t>Programadas</t>
        </is>
      </c>
      <c r="B7" s="4">
        <f>COUNTIF(Calendario!F5:F100,"Programado")</f>
        <v/>
      </c>
    </row>
    <row r="8">
      <c r="A8" s="3" t="inlineStr">
        <is>
          <t>En Instagram</t>
        </is>
      </c>
      <c r="B8" s="4">
        <f>COUNTIF(Calendario!E5:E100,"Instagram")</f>
        <v/>
      </c>
    </row>
    <row r="9">
      <c r="A9" s="3" t="inlineStr">
        <is>
          <t>En TikTok</t>
        </is>
      </c>
      <c r="B9" s="4">
        <f>COUNTIF(Calendario!E5:E100,"TikTok")</f>
        <v/>
      </c>
    </row>
    <row r="10">
      <c r="A10" s="3" t="inlineStr">
        <is>
          <t>Vistas totales</t>
        </is>
      </c>
      <c r="B10" s="5">
        <f>Resultados!F17</f>
        <v/>
      </c>
    </row>
    <row r="11">
      <c r="A11" s="3" t="inlineStr">
        <is>
          <t>Seguidores ganados (48 h)</t>
        </is>
      </c>
      <c r="B11" s="5">
        <f>Resultados!Q17</f>
        <v/>
      </c>
    </row>
    <row r="12">
      <c r="A12" s="3" t="inlineStr">
        <is>
          <t>Mensajes recibidos</t>
        </is>
      </c>
      <c r="B12" s="5">
        <f>Resultados!R17</f>
        <v/>
      </c>
    </row>
    <row r="13">
      <c r="A13" s="3" t="inlineStr">
        <is>
          <t>Clientes que cotizaron</t>
        </is>
      </c>
      <c r="B13" s="5">
        <f>Resultados!S17</f>
        <v/>
      </c>
    </row>
    <row r="15">
      <c r="A15" s="6" t="inlineStr">
        <is>
          <t>Créditos de voz (ElevenLabs Starter)</t>
        </is>
      </c>
    </row>
    <row r="16">
      <c r="A16" s="7" t="inlineStr">
        <is>
          <t>Créditos disponibles</t>
        </is>
      </c>
      <c r="B16" s="8" t="n">
        <v>38848</v>
      </c>
    </row>
    <row r="17">
      <c r="A17" s="7" t="inlineStr">
        <is>
          <t>Costo por video (aprox.)</t>
        </is>
      </c>
      <c r="B17" s="8" t="n">
        <v>400</v>
      </c>
    </row>
    <row r="18">
      <c r="A18" s="7" t="inlineStr">
        <is>
          <t>Videos que alcanzan</t>
        </is>
      </c>
      <c r="B18" s="9">
        <f>IFERROR(INT(B16/B17),0)</f>
        <v/>
      </c>
    </row>
    <row r="20">
      <c r="A20" s="2" t="inlineStr">
        <is>
          <t>Fuente: tu cuenta de ElevenLabs (15/10/2026). Voz: Diego (desde el video 4). Los créditos se renuevan cada mes.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5" customWidth="1" min="3" max="3"/>
    <col width="10" customWidth="1" min="4" max="4"/>
    <col width="11" customWidth="1" min="5" max="5"/>
    <col width="13" customWidth="1" min="6" max="6"/>
    <col width="30" customWidth="1" min="7" max="7"/>
    <col width="60" customWidth="1" min="8" max="8"/>
    <col width="34" customWidth="1" min="9" max="9"/>
    <col width="34" customWidth="1" min="10" max="10"/>
    <col width="22" customWidth="1" min="11" max="11"/>
  </cols>
  <sheetData>
    <row r="1">
      <c r="A1" s="1" t="inlineStr">
        <is>
          <t>Lumen Web Design · Calendario de publicaciones</t>
        </is>
      </c>
    </row>
    <row r="2">
      <c r="A2" s="2" t="inlineStr">
        <is>
          <t>Horas en hora de Venezuela. Publicación automática con Metricool. Todos los videos van marcados como contenido hecho con IA.</t>
        </is>
      </c>
    </row>
    <row r="4" ht="30" customHeight="1">
      <c r="A4" s="10" t="inlineStr">
        <is>
          <t>N°</t>
        </is>
      </c>
      <c r="B4" s="10" t="inlineStr">
        <is>
          <t>Video</t>
        </is>
      </c>
      <c r="C4" s="10" t="inlineStr">
        <is>
          <t>Fecha</t>
        </is>
      </c>
      <c r="D4" s="10" t="inlineStr">
        <is>
          <t>Hora</t>
        </is>
      </c>
      <c r="E4" s="10" t="inlineStr">
        <is>
          <t>Red</t>
        </is>
      </c>
      <c r="F4" s="10" t="inlineStr">
        <is>
          <t>Estado</t>
        </is>
      </c>
      <c r="G4" s="10" t="inlineStr">
        <is>
          <t>Enlace</t>
        </is>
      </c>
      <c r="H4" s="10" t="inlineStr">
        <is>
          <t>Descripción</t>
        </is>
      </c>
      <c r="I4" s="10" t="inlineStr">
        <is>
          <t>Hashtags</t>
        </is>
      </c>
      <c r="J4" s="10" t="inlineStr">
        <is>
          <t>Archivo (Videos\Lumen)</t>
        </is>
      </c>
      <c r="K4" s="10" t="inlineStr">
        <is>
          <t>Portada</t>
        </is>
      </c>
    </row>
    <row r="5" ht="150" customHeight="1">
      <c r="A5" s="11" t="n">
        <v>1</v>
      </c>
      <c r="B5" s="12" t="inlineStr">
        <is>
          <t>Presentación de Lumen</t>
        </is>
      </c>
      <c r="C5" s="11" t="inlineStr">
        <is>
          <t>jue 15/10/2026</t>
        </is>
      </c>
      <c r="D5" s="11" t="inlineStr">
        <is>
          <t>1:50 pm</t>
        </is>
      </c>
      <c r="E5" s="13" t="inlineStr">
        <is>
          <t>Instagram</t>
        </is>
      </c>
      <c r="F5" s="11" t="inlineStr">
        <is>
          <t>Publicado</t>
        </is>
      </c>
      <c r="G5" s="14" t="inlineStr">
        <is>
          <t>Ver publicación</t>
        </is>
      </c>
      <c r="H5" s="12" t="inlineStr">
        <is>
          <t>Hola, soy Angel 👋 y esto es Lumen Web Design.
Creo páginas web modernas y minimalistas para negocios que quieren crecer: pedidos online, reservas y un diseño perfecto para el teléfono.
📍 Desde Aragua, Venezuela, para todo el país y el exterior.
¿Tu negocio aún no tiene web? Escríbeme por WhatsApp, el enlace está en mi biografía 💬
Lumen: le damos luz a tu negocio ✨</t>
        </is>
      </c>
      <c r="I5" s="12" t="inlineStr">
        <is>
          <t>#diseñoweb #paginasweb #webdesign #emprendedoresvenezolanos #aragua #maracay #venezuela #negociosvenezuela #marketingdigital #emprendimiento</t>
        </is>
      </c>
      <c r="J5" s="12" t="inlineStr">
        <is>
          <t>lumen-reel-01-presentacion.mp4</t>
        </is>
      </c>
      <c r="K5" s="12" t="inlineStr">
        <is>
          <t>Logo (seg. 3)</t>
        </is>
      </c>
    </row>
    <row r="6" ht="80" customHeight="1">
      <c r="A6" s="11" t="n">
        <v>1</v>
      </c>
      <c r="B6" s="12" t="inlineStr">
        <is>
          <t>Presentación de Lumen</t>
        </is>
      </c>
      <c r="C6" s="11" t="inlineStr">
        <is>
          <t>jue 15/10/2026</t>
        </is>
      </c>
      <c r="D6" s="11" t="inlineStr">
        <is>
          <t>3:46 pm</t>
        </is>
      </c>
      <c r="E6" s="13" t="inlineStr">
        <is>
          <t>TikTok</t>
        </is>
      </c>
      <c r="F6" s="11" t="inlineStr">
        <is>
          <t>Publicado</t>
        </is>
      </c>
      <c r="G6" s="14" t="inlineStr">
        <is>
          <t>Ver publicación</t>
        </is>
      </c>
      <c r="H6" s="12" t="inlineStr">
        <is>
          <t>Hola, soy Angel 👋 Diseño páginas web para negocios de Venezuela y del exterior. Si tu negocio aún no tiene web, escríbeme por mensaje directo y te ayudo 💬</t>
        </is>
      </c>
      <c r="I6" s="12" t="inlineStr">
        <is>
          <t>#diseñoweb #paginasweb #emprendedoresvenezolanos #aragua #venezuela</t>
        </is>
      </c>
      <c r="J6" s="12" t="inlineStr">
        <is>
          <t>lumen-reel-01-presentacion.mp4</t>
        </is>
      </c>
      <c r="K6" s="12" t="inlineStr">
        <is>
          <t>Primer fotograma</t>
        </is>
      </c>
    </row>
    <row r="7" ht="150" customHeight="1">
      <c r="A7" s="11" t="n">
        <v>2</v>
      </c>
      <c r="B7" s="12" t="inlineStr">
        <is>
          <t>Web moderna en el teléfono</t>
        </is>
      </c>
      <c r="C7" s="11" t="inlineStr">
        <is>
          <t>sáb 17/10/2026</t>
        </is>
      </c>
      <c r="D7" s="11" t="inlineStr">
        <is>
          <t>11:00 am</t>
        </is>
      </c>
      <c r="E7" s="13" t="inlineStr">
        <is>
          <t>Instagram</t>
        </is>
      </c>
      <c r="F7" s="11" t="inlineStr">
        <is>
          <t>Programado</t>
        </is>
      </c>
      <c r="G7" s="15" t="inlineStr">
        <is>
          <t>Se genera al publicarse</t>
        </is>
      </c>
      <c r="H7" s="12" t="inlineStr">
        <is>
          <t>Si tu negocio no se ve bien en el teléfono, ese cliente se va con la competencia en dos segundos 📉
El café del video es solo un ejemplo: tu web lleva tu logo, tus colores, tus fotos y tus productos reales 🎨
¿Qué te gustaría que tuviera la web de tu negocio? Te leo en los comentarios 👇 o escríbeme por WhatsApp desde el enlace de mi biografía.</t>
        </is>
      </c>
      <c r="I7" s="12" t="inlineStr">
        <is>
          <t>#diseñoweb #paginasweb #webdesign #emprendedoresvenezolanos #aragua #maracay #venezuela #negociosvenezuela #marketingdigital #emprendimiento</t>
        </is>
      </c>
      <c r="J7" s="12" t="inlineStr">
        <is>
          <t>lumen-reel-02-web-en-el-telefono.mp4</t>
        </is>
      </c>
      <c r="K7" s="12" t="inlineStr">
        <is>
          <t>"Así se ve una web moderna"</t>
        </is>
      </c>
    </row>
    <row r="8" ht="80" customHeight="1">
      <c r="A8" s="11" t="n">
        <v>2</v>
      </c>
      <c r="B8" s="12" t="inlineStr">
        <is>
          <t>Web moderna en el teléfono</t>
        </is>
      </c>
      <c r="C8" s="11" t="inlineStr">
        <is>
          <t>sáb 17/10/2026</t>
        </is>
      </c>
      <c r="D8" s="11" t="inlineStr">
        <is>
          <t>11:00 am</t>
        </is>
      </c>
      <c r="E8" s="13" t="inlineStr">
        <is>
          <t>TikTok</t>
        </is>
      </c>
      <c r="F8" s="11" t="inlineStr">
        <is>
          <t>Programado</t>
        </is>
      </c>
      <c r="G8" s="15" t="inlineStr">
        <is>
          <t>Se genera al publicarse</t>
        </is>
      </c>
      <c r="H8" s="12" t="inlineStr">
        <is>
          <t>El café del video es solo un ejemplo: tu web lleva tu logo, tus colores y tus productos reales 🎨 ¿Qué te gustaría que tuviera la web de tu negocio? Cuéntame en los comentarios o por mensaje directo 👇</t>
        </is>
      </c>
      <c r="I8" s="12" t="inlineStr">
        <is>
          <t>#diseñoweb #paginasweb #emprendedoresvenezolanos #venezuela #negocios</t>
        </is>
      </c>
      <c r="J8" s="12" t="inlineStr">
        <is>
          <t>lumen-reel-02-web-en-el-telefono.mp4</t>
        </is>
      </c>
      <c r="K8" s="12" t="inlineStr">
        <is>
          <t>Primer fotograma</t>
        </is>
      </c>
    </row>
    <row r="9" ht="150" customHeight="1">
      <c r="A9" s="11" t="n">
        <v>3</v>
      </c>
      <c r="B9" s="12" t="inlineStr">
        <is>
          <t>¿Cuánto cuesta una página web?</t>
        </is>
      </c>
      <c r="C9" s="11" t="inlineStr">
        <is>
          <t>lun 19/10/2026</t>
        </is>
      </c>
      <c r="D9" s="11" t="inlineStr">
        <is>
          <t>11:00 am</t>
        </is>
      </c>
      <c r="E9" s="13" t="inlineStr">
        <is>
          <t>Instagram</t>
        </is>
      </c>
      <c r="F9" s="11" t="inlineStr">
        <is>
          <t>Programado</t>
        </is>
      </c>
      <c r="G9" s="15" t="inlineStr">
        <is>
          <t>Se genera al publicarse</t>
        </is>
      </c>
      <c r="H9" s="12" t="inlineStr">
        <is>
          <t>Todos los paquetes incluyen ✨
📱 Diseño que se ve perfecto en celular, tablet y computadora
💬 Botón de WhatsApp para que te escriban al instante
🔎 Optimización básica para aparecer en Google
🎓 Te enseño a manejar tu página
🎁 2 semanas de mantenimiento gratis
¿Cuál paquete le vendría mejor a tu negocio? Cuéntame en los comentarios 👇 o escríbeme por WhatsApp desde el enlace de mi biografía.</t>
        </is>
      </c>
      <c r="I9" s="12" t="inlineStr">
        <is>
          <t>#diseñoweb #paginasweb #webdesign #emprendedoresvenezolanos #aragua #maracay #venezuela #negociosvenezuela #marketingdigital #emprendimiento</t>
        </is>
      </c>
      <c r="J9" s="12" t="inlineStr">
        <is>
          <t>lumen-reel-03-cuanto-cuesta-una-web.mp4</t>
        </is>
      </c>
      <c r="K9" s="12" t="inlineStr">
        <is>
          <t>Tarjeta paquete Completo</t>
        </is>
      </c>
    </row>
    <row r="10" ht="80" customHeight="1">
      <c r="A10" s="11" t="n">
        <v>3</v>
      </c>
      <c r="B10" s="12" t="inlineStr">
        <is>
          <t>¿Cuánto cuesta una página web?</t>
        </is>
      </c>
      <c r="C10" s="11" t="inlineStr">
        <is>
          <t>lun 19/10/2026</t>
        </is>
      </c>
      <c r="D10" s="11" t="inlineStr">
        <is>
          <t>11:00 am</t>
        </is>
      </c>
      <c r="E10" s="13" t="inlineStr">
        <is>
          <t>TikTok</t>
        </is>
      </c>
      <c r="F10" s="11" t="inlineStr">
        <is>
          <t>Programado</t>
        </is>
      </c>
      <c r="G10" s="15" t="inlineStr">
        <is>
          <t>Se genera al publicarse</t>
        </is>
      </c>
      <c r="H10" s="12" t="inlineStr">
        <is>
          <t>Todos los paquetes incluyen diseño para celular y computadora, botón de WhatsApp, optimización para Google, capacitación y 2 semanas de mantenimiento gratis ✨ ¿Cuál le vendría mejor a tu negocio? Escríbeme por mensaje directo y te hago tu cotización 💬</t>
        </is>
      </c>
      <c r="I10" s="12" t="inlineStr">
        <is>
          <t>#diseñoweb #paginasweb #emprendedoresvenezolanos #venezuela #emprendimiento</t>
        </is>
      </c>
      <c r="J10" s="12" t="inlineStr">
        <is>
          <t>lumen-reel-03-cuanto-cuesta-una-web.mp4</t>
        </is>
      </c>
      <c r="K10" s="12" t="inlineStr">
        <is>
          <t>Primer fotograma</t>
        </is>
      </c>
    </row>
    <row r="11" ht="150" customHeight="1">
      <c r="A11" s="11" t="n">
        <v>4</v>
      </c>
      <c r="B11" s="12" t="inlineStr">
        <is>
          <t>¿Tu negocio solo está en redes?</t>
        </is>
      </c>
      <c r="C11" s="11" t="inlineStr">
        <is>
          <t>mié 21/10/2026</t>
        </is>
      </c>
      <c r="D11" s="11" t="inlineStr">
        <is>
          <t>11:00 am</t>
        </is>
      </c>
      <c r="E11" s="13" t="inlineStr">
        <is>
          <t>Instagram</t>
        </is>
      </c>
      <c r="F11" s="11" t="inlineStr">
        <is>
          <t>Programado</t>
        </is>
      </c>
      <c r="G11" s="15" t="inlineStr">
        <is>
          <t>Se genera al publicarse</t>
        </is>
      </c>
      <c r="H11" s="12" t="inlineStr">
        <is>
          <t>Las redes sociales sirven para que te descubran, pero tu página web es donde te eligen 💡
Tu web le da a tu negocio una dirección propia que puedes poner en tu perfil, en tu tarjeta, en Google Maps y en tu estado de WhatsApp. Y trabaja las 24 horas, aunque no estés respondiendo mensajes 🕐
¿Tu negocio ya tiene web o todavía vende solo por redes? Cuéntame en los comentarios 👇 o escríbeme por WhatsApp desde el enlace de mi biografía.</t>
        </is>
      </c>
      <c r="I11" s="12" t="inlineStr">
        <is>
          <t>#diseñoweb #paginasweb #webdesign #emprendedoresvenezolanos #aragua #maracay #venezuela #negociosvenezuela #marketingdigital #emprendimiento</t>
        </is>
      </c>
      <c r="J11" s="12" t="inlineStr">
        <is>
          <t>lumen-reel-04-solo-en-redes.mp4</t>
        </is>
      </c>
      <c r="K11" s="12" t="inlineStr">
        <is>
          <t>Título (seg. 1,5)</t>
        </is>
      </c>
    </row>
    <row r="12" ht="80" customHeight="1">
      <c r="A12" s="11" t="n">
        <v>4</v>
      </c>
      <c r="B12" s="12" t="inlineStr">
        <is>
          <t>¿Tu negocio solo está en redes?</t>
        </is>
      </c>
      <c r="C12" s="11" t="inlineStr">
        <is>
          <t>mié 21/10/2026</t>
        </is>
      </c>
      <c r="D12" s="11" t="inlineStr">
        <is>
          <t>11:00 am</t>
        </is>
      </c>
      <c r="E12" s="13" t="inlineStr">
        <is>
          <t>TikTok</t>
        </is>
      </c>
      <c r="F12" s="11" t="inlineStr">
        <is>
          <t>Programado</t>
        </is>
      </c>
      <c r="G12" s="15" t="inlineStr">
        <is>
          <t>Se genera al publicarse</t>
        </is>
      </c>
      <c r="H12" s="12" t="inlineStr">
        <is>
          <t>Tu web le da a tu negocio una dirección propia que puedes poner en tu perfil, en tu tarjeta y en Google Maps, y trabaja las 24 horas aunque no estés respondiendo mensajes 🕐 ¿Tu negocio ya tiene web o vende solo por redes? Cuéntame en los comentarios o escríbeme por mensaje directo 💬</t>
        </is>
      </c>
      <c r="I12" s="12" t="inlineStr">
        <is>
          <t>#diseñoweb #paginasweb #emprendedoresvenezolanos #venezuela #negocios</t>
        </is>
      </c>
      <c r="J12" s="12" t="inlineStr">
        <is>
          <t>lumen-reel-04-solo-en-redes.mp4</t>
        </is>
      </c>
      <c r="K12" s="12" t="inlineStr">
        <is>
          <t>Primer fotograma</t>
        </is>
      </c>
    </row>
    <row r="13" ht="150" customHeight="1">
      <c r="A13" s="11" t="n">
        <v>5</v>
      </c>
      <c r="B13" s="12" t="inlineStr">
        <is>
          <t>Así hago tu web en 4 pasos</t>
        </is>
      </c>
      <c r="C13" s="11" t="inlineStr">
        <is>
          <t>vie 23/10/2026</t>
        </is>
      </c>
      <c r="D13" s="11" t="inlineStr">
        <is>
          <t>11:00 am</t>
        </is>
      </c>
      <c r="E13" s="13" t="inlineStr">
        <is>
          <t>Instagram</t>
        </is>
      </c>
      <c r="F13" s="11" t="inlineStr">
        <is>
          <t>Programado</t>
        </is>
      </c>
      <c r="G13" s="15" t="inlineStr">
        <is>
          <t>Se genera al publicarse</t>
        </is>
      </c>
      <c r="H13" s="12" t="inlineStr">
        <is>
          <t>Lo que necesito para empezar tu web 📝
📸 Tu logo y fotos de tus productos o de tu local
🎨 Tus colores
📋 Tu menú, servicios o lista de precios
📍 Tu dirección, horario y número de WhatsApp
Si algo te falta, no pasa nada: lo vemos juntos en la primera conversación 🤝
¿Qué es lo que más te frena para tener la página web de tu negocio? Te leo en los comentarios 👇 o escríbeme por WhatsApp desde el enlace de mi biografía.</t>
        </is>
      </c>
      <c r="I13" s="12" t="inlineStr">
        <is>
          <t>#diseñoweb #paginasweb #webdesign #emprendedoresvenezolanos #aragua #maracay #venezuela #negociosvenezuela #marketingdigital #emprendimiento</t>
        </is>
      </c>
      <c r="J13" s="12" t="inlineStr">
        <is>
          <t>lumen-reel-05-proceso-4-pasos.mp4</t>
        </is>
      </c>
      <c r="K13" s="12" t="inlineStr">
        <is>
          <t>Título (seg. 1,8)</t>
        </is>
      </c>
    </row>
    <row r="14" ht="80" customHeight="1">
      <c r="A14" s="11" t="n">
        <v>5</v>
      </c>
      <c r="B14" s="12" t="inlineStr">
        <is>
          <t>Así hago tu web en 4 pasos</t>
        </is>
      </c>
      <c r="C14" s="11" t="inlineStr">
        <is>
          <t>vie 23/10/2026</t>
        </is>
      </c>
      <c r="D14" s="11" t="inlineStr">
        <is>
          <t>11:00 am</t>
        </is>
      </c>
      <c r="E14" s="13" t="inlineStr">
        <is>
          <t>TikTok</t>
        </is>
      </c>
      <c r="F14" s="11" t="inlineStr">
        <is>
          <t>Programado</t>
        </is>
      </c>
      <c r="G14" s="15" t="inlineStr">
        <is>
          <t>Se genera al publicarse</t>
        </is>
      </c>
      <c r="H14" s="12" t="inlineStr">
        <is>
          <t>Para empezar tu web solo necesito tu logo, fotos de tus productos, tu menú o lista de precios y tu WhatsApp 📝 Si algo te falta, lo vemos juntos 🤝 ¿Qué es lo que más te frena para tener tu página web? Cuéntame en los comentarios o escríbeme por mensaje directo 💬</t>
        </is>
      </c>
      <c r="I14" s="12" t="inlineStr">
        <is>
          <t>#diseñoweb #paginasweb #emprendedoresvenezolanos #venezuela #emprendimiento</t>
        </is>
      </c>
      <c r="J14" s="12" t="inlineStr">
        <is>
          <t>lumen-reel-05-proceso-4-pasos.mp4</t>
        </is>
      </c>
      <c r="K14" s="12" t="inlineStr">
        <is>
          <t>Primer fotograma</t>
        </is>
      </c>
    </row>
    <row r="15" ht="150" customHeight="1">
      <c r="A15" s="11" t="n">
        <v>6</v>
      </c>
      <c r="B15" s="12" t="inlineStr">
        <is>
          <t>3 errores que espantan clientes</t>
        </is>
      </c>
      <c r="C15" s="11" t="inlineStr">
        <is>
          <t>vie 16/10/2026</t>
        </is>
      </c>
      <c r="D15" s="11" t="inlineStr">
        <is>
          <t>12:15 pm</t>
        </is>
      </c>
      <c r="E15" s="13" t="inlineStr">
        <is>
          <t>Instagram</t>
        </is>
      </c>
      <c r="F15" s="11" t="inlineStr">
        <is>
          <t>Programado</t>
        </is>
      </c>
      <c r="G15" s="15" t="inlineStr">
        <is>
          <t>Se genera al publicarse</t>
        </is>
      </c>
      <c r="H15" s="12" t="inlineStr">
        <is>
          <t>Una web lenta no solo pierde visitas: Google también la muestra más abajo en los resultados 🔎
Y el botón de WhatsApp no es un detalle: es el camino más corto entre "me interesa" y "quiero comprar" 💬
¿Cuál de estos 3 errores has visto más en las webs de negocios? Te leo en los comentarios 👇 o escríbeme por WhatsApp desde el enlace de mi biografía.</t>
        </is>
      </c>
      <c r="I15" s="12" t="inlineStr">
        <is>
          <t>#diseñoweb #paginasweb #webdesign #emprendedoresvenezolanos #aragua #maracay #venezuela #negociosvenezuela #marketingdigital #emprendimiento</t>
        </is>
      </c>
      <c r="J15" s="12" t="inlineStr">
        <is>
          <t>lumen-reel-06-errores-que-espantan-clientes.mp4</t>
        </is>
      </c>
      <c r="K15" s="12" t="inlineStr">
        <is>
          <t>Título (seg. 1,8)</t>
        </is>
      </c>
    </row>
    <row r="16" ht="80" customHeight="1">
      <c r="A16" s="11" t="n">
        <v>6</v>
      </c>
      <c r="B16" s="12" t="inlineStr">
        <is>
          <t>3 errores que espantan clientes</t>
        </is>
      </c>
      <c r="C16" s="11" t="inlineStr">
        <is>
          <t>vie 16/10/2026</t>
        </is>
      </c>
      <c r="D16" s="11" t="inlineStr">
        <is>
          <t>6:00 pm</t>
        </is>
      </c>
      <c r="E16" s="13" t="inlineStr">
        <is>
          <t>TikTok</t>
        </is>
      </c>
      <c r="F16" s="11" t="inlineStr">
        <is>
          <t>Programado</t>
        </is>
      </c>
      <c r="G16" s="15" t="inlineStr">
        <is>
          <t>Se genera al publicarse</t>
        </is>
      </c>
      <c r="H16" s="12" t="inlineStr">
        <is>
          <t>Una web lenta también aparece más abajo en Google 🔎 y el botón de WhatsApp es el camino más corto entre "me interesa" y "quiero comprar" 💬 ¿Cuál de estos 3 errores has visto más? Cuéntame en los comentarios o escríbeme por mensaje directo</t>
        </is>
      </c>
      <c r="I16" s="12" t="inlineStr">
        <is>
          <t>#diseñoweb #paginasweb #emprendedoresvenezolanos #venezuela #negocios</t>
        </is>
      </c>
      <c r="J16" s="12" t="inlineStr">
        <is>
          <t>lumen-reel-06-errores-que-espantan-clientes-tiktok-portada.mp4</t>
        </is>
      </c>
      <c r="K16" s="12" t="inlineStr">
        <is>
          <t>Primer fotograma</t>
        </is>
      </c>
    </row>
  </sheetData>
  <autoFilter ref="A4:K16"/>
  <conditionalFormatting sqref="F5:F16">
    <cfRule type="expression" priority="1" dxfId="0">
      <formula>$F5="Publicado"</formula>
    </cfRule>
    <cfRule type="expression" priority="2" dxfId="1">
      <formula>$F5="Programado"</formula>
    </cfRule>
  </conditionalFormatting>
  <dataValidations count="1">
    <dataValidation sqref="F5:F16" showDropDown="0" showInputMessage="0" showErrorMessage="0" allowBlank="1" type="list">
      <formula1>"Publicado,Programado,Pendiente,Borrador"</formula1>
    </dataValidation>
  </dataValidations>
  <hyperlinks>
    <hyperlink xmlns:r="http://schemas.openxmlformats.org/officeDocument/2006/relationships" ref="G5" r:id="rId1"/>
    <hyperlink xmlns:r="http://schemas.openxmlformats.org/officeDocument/2006/relationships" ref="G6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1" customWidth="1" min="3" max="3"/>
    <col width="13" customWidth="1" min="4" max="4"/>
    <col width="10" customWidth="1" min="5" max="5"/>
    <col width="10" customWidth="1" min="6" max="6"/>
    <col width="10" customWidth="1" min="7" max="7"/>
    <col width="14" customWidth="1" min="8" max="8"/>
    <col width="10" customWidth="1" min="9" max="9"/>
    <col width="11" customWidth="1" min="10" max="10"/>
    <col width="10" customWidth="1" min="11" max="11"/>
    <col width="12" customWidth="1" min="12" max="12"/>
    <col width="11" customWidth="1" min="13" max="13"/>
    <col width="12" customWidth="1" min="14" max="14"/>
    <col width="13" customWidth="1" min="15" max="15"/>
    <col width="13" customWidth="1" min="16" max="16"/>
    <col width="12" customWidth="1" min="17" max="17"/>
    <col width="12" customWidth="1" min="18" max="18"/>
    <col width="13" customWidth="1" min="19" max="19"/>
  </cols>
  <sheetData>
    <row r="1">
      <c r="A1" s="1" t="inlineStr">
        <is>
          <t>Resultados por publicación</t>
        </is>
      </c>
    </row>
    <row r="2">
      <c r="A2" s="2" t="inlineStr">
        <is>
          <t>Claude llena esta pestaña con los datos de Metricool (a las 48 h y a los 7 días de cada video). Las columnas grises se calculan solas.</t>
        </is>
      </c>
    </row>
    <row r="4" ht="30" customHeight="1">
      <c r="A4" s="10" t="inlineStr">
        <is>
          <t>N°</t>
        </is>
      </c>
      <c r="B4" s="10" t="inlineStr">
        <is>
          <t>Video</t>
        </is>
      </c>
      <c r="C4" s="10" t="inlineStr">
        <is>
          <t>Red</t>
        </is>
      </c>
      <c r="D4" s="10" t="inlineStr">
        <is>
          <t>Estado</t>
        </is>
      </c>
      <c r="E4" s="10" t="inlineStr">
        <is>
          <t>Horas publicado</t>
        </is>
      </c>
      <c r="F4" s="10" t="inlineStr">
        <is>
          <t>Vistas</t>
        </is>
      </c>
      <c r="G4" s="10" t="inlineStr">
        <is>
          <t>Alcance</t>
        </is>
      </c>
      <c r="H4" s="10" t="inlineStr">
        <is>
          <t>Vio +3 s (IG) / completo (TT)</t>
        </is>
      </c>
      <c r="I4" s="10" t="inlineStr">
        <is>
          <t>% visto</t>
        </is>
      </c>
      <c r="J4" s="10" t="inlineStr">
        <is>
          <t>Tiempo medio (s)</t>
        </is>
      </c>
      <c r="K4" s="10" t="inlineStr">
        <is>
          <t>Me gusta</t>
        </is>
      </c>
      <c r="L4" s="10" t="inlineStr">
        <is>
          <t>Comentarios</t>
        </is>
      </c>
      <c r="M4" s="10" t="inlineStr">
        <is>
          <t>Guardados</t>
        </is>
      </c>
      <c r="N4" s="10" t="inlineStr">
        <is>
          <t>Compartidos</t>
        </is>
      </c>
      <c r="O4" s="10" t="inlineStr">
        <is>
          <t>Interacciones</t>
        </is>
      </c>
      <c r="P4" s="10" t="inlineStr">
        <is>
          <t>Tasa de interacción</t>
        </is>
      </c>
      <c r="Q4" s="10" t="inlineStr">
        <is>
          <t>Seguidores 48 h</t>
        </is>
      </c>
      <c r="R4" s="10" t="inlineStr">
        <is>
          <t>Mensajes recibidos</t>
        </is>
      </c>
      <c r="S4" s="10" t="inlineStr">
        <is>
          <t>Clientes que cotizaron</t>
        </is>
      </c>
    </row>
    <row r="5" ht="30" customHeight="1">
      <c r="A5" s="16">
        <f>Calendario!A5</f>
        <v/>
      </c>
      <c r="B5" s="17">
        <f>Calendario!B5</f>
        <v/>
      </c>
      <c r="C5" s="16">
        <f>Calendario!E5</f>
        <v/>
      </c>
      <c r="D5" s="16">
        <f>Calendario!F5</f>
        <v/>
      </c>
      <c r="E5" s="18" t="n"/>
      <c r="F5" s="19" t="n"/>
      <c r="G5" s="19" t="n"/>
      <c r="H5" s="20" t="n"/>
      <c r="I5" s="20" t="n"/>
      <c r="J5" s="18" t="n"/>
      <c r="K5" s="19" t="n"/>
      <c r="L5" s="19" t="n"/>
      <c r="M5" s="19" t="n"/>
      <c r="N5" s="19" t="n"/>
      <c r="O5" s="21">
        <f>IF(COUNT(K5:N5)=0,"",SUM(K5:N5))</f>
        <v/>
      </c>
      <c r="P5" s="22">
        <f>IFERROR(IF(G5="","",O5/G5),"")</f>
        <v/>
      </c>
      <c r="Q5" s="19" t="n"/>
      <c r="R5" s="19" t="n"/>
      <c r="S5" s="19" t="n"/>
    </row>
    <row r="6" ht="30" customHeight="1">
      <c r="A6" s="16">
        <f>Calendario!A6</f>
        <v/>
      </c>
      <c r="B6" s="17">
        <f>Calendario!B6</f>
        <v/>
      </c>
      <c r="C6" s="16">
        <f>Calendario!E6</f>
        <v/>
      </c>
      <c r="D6" s="16">
        <f>Calendario!F6</f>
        <v/>
      </c>
      <c r="E6" s="18" t="n"/>
      <c r="F6" s="19" t="n"/>
      <c r="G6" s="19" t="n"/>
      <c r="H6" s="20" t="n"/>
      <c r="I6" s="20" t="n"/>
      <c r="J6" s="18" t="n"/>
      <c r="K6" s="19" t="n"/>
      <c r="L6" s="19" t="n"/>
      <c r="M6" s="21" t="n"/>
      <c r="N6" s="19" t="n"/>
      <c r="O6" s="21">
        <f>IF(COUNT(K6:N6)=0,"",SUM(K6:N6))</f>
        <v/>
      </c>
      <c r="P6" s="22">
        <f>IFERROR(IF(G6="","",O6/G6),"")</f>
        <v/>
      </c>
      <c r="Q6" s="19" t="n"/>
      <c r="R6" s="19" t="n"/>
      <c r="S6" s="19" t="n"/>
    </row>
    <row r="7" ht="30" customHeight="1">
      <c r="A7" s="16">
        <f>Calendario!A7</f>
        <v/>
      </c>
      <c r="B7" s="17">
        <f>Calendario!B7</f>
        <v/>
      </c>
      <c r="C7" s="16">
        <f>Calendario!E7</f>
        <v/>
      </c>
      <c r="D7" s="16">
        <f>Calendario!F7</f>
        <v/>
      </c>
      <c r="E7" s="18" t="n"/>
      <c r="F7" s="19" t="n"/>
      <c r="G7" s="19" t="n"/>
      <c r="H7" s="20" t="n"/>
      <c r="I7" s="20" t="n"/>
      <c r="J7" s="18" t="n"/>
      <c r="K7" s="19" t="n"/>
      <c r="L7" s="19" t="n"/>
      <c r="M7" s="19" t="n"/>
      <c r="N7" s="19" t="n"/>
      <c r="O7" s="21">
        <f>IF(COUNT(K7:N7)=0,"",SUM(K7:N7))</f>
        <v/>
      </c>
      <c r="P7" s="22">
        <f>IFERROR(IF(G7="","",O7/G7),"")</f>
        <v/>
      </c>
      <c r="Q7" s="19" t="n"/>
      <c r="R7" s="19" t="n"/>
      <c r="S7" s="19" t="n"/>
    </row>
    <row r="8" ht="30" customHeight="1">
      <c r="A8" s="16">
        <f>Calendario!A8</f>
        <v/>
      </c>
      <c r="B8" s="17">
        <f>Calendario!B8</f>
        <v/>
      </c>
      <c r="C8" s="16">
        <f>Calendario!E8</f>
        <v/>
      </c>
      <c r="D8" s="16">
        <f>Calendario!F8</f>
        <v/>
      </c>
      <c r="E8" s="18" t="n"/>
      <c r="F8" s="19" t="n"/>
      <c r="G8" s="19" t="n"/>
      <c r="H8" s="20" t="n"/>
      <c r="I8" s="20" t="n"/>
      <c r="J8" s="18" t="n"/>
      <c r="K8" s="19" t="n"/>
      <c r="L8" s="19" t="n"/>
      <c r="M8" s="21" t="n"/>
      <c r="N8" s="19" t="n"/>
      <c r="O8" s="21">
        <f>IF(COUNT(K8:N8)=0,"",SUM(K8:N8))</f>
        <v/>
      </c>
      <c r="P8" s="22">
        <f>IFERROR(IF(G8="","",O8/G8),"")</f>
        <v/>
      </c>
      <c r="Q8" s="19" t="n"/>
      <c r="R8" s="19" t="n"/>
      <c r="S8" s="19" t="n"/>
    </row>
    <row r="9" ht="30" customHeight="1">
      <c r="A9" s="16">
        <f>Calendario!A9</f>
        <v/>
      </c>
      <c r="B9" s="17">
        <f>Calendario!B9</f>
        <v/>
      </c>
      <c r="C9" s="16">
        <f>Calendario!E9</f>
        <v/>
      </c>
      <c r="D9" s="16">
        <f>Calendario!F9</f>
        <v/>
      </c>
      <c r="E9" s="18" t="n"/>
      <c r="F9" s="19" t="n"/>
      <c r="G9" s="19" t="n"/>
      <c r="H9" s="20" t="n"/>
      <c r="I9" s="20" t="n"/>
      <c r="J9" s="18" t="n"/>
      <c r="K9" s="19" t="n"/>
      <c r="L9" s="19" t="n"/>
      <c r="M9" s="19" t="n"/>
      <c r="N9" s="19" t="n"/>
      <c r="O9" s="21">
        <f>IF(COUNT(K9:N9)=0,"",SUM(K9:N9))</f>
        <v/>
      </c>
      <c r="P9" s="22">
        <f>IFERROR(IF(G9="","",O9/G9),"")</f>
        <v/>
      </c>
      <c r="Q9" s="19" t="n"/>
      <c r="R9" s="19" t="n"/>
      <c r="S9" s="19" t="n"/>
    </row>
    <row r="10" ht="30" customHeight="1">
      <c r="A10" s="16">
        <f>Calendario!A10</f>
        <v/>
      </c>
      <c r="B10" s="17">
        <f>Calendario!B10</f>
        <v/>
      </c>
      <c r="C10" s="16">
        <f>Calendario!E10</f>
        <v/>
      </c>
      <c r="D10" s="16">
        <f>Calendario!F10</f>
        <v/>
      </c>
      <c r="E10" s="18" t="n"/>
      <c r="F10" s="19" t="n"/>
      <c r="G10" s="19" t="n"/>
      <c r="H10" s="20" t="n"/>
      <c r="I10" s="20" t="n"/>
      <c r="J10" s="18" t="n"/>
      <c r="K10" s="19" t="n"/>
      <c r="L10" s="19" t="n"/>
      <c r="M10" s="21" t="n"/>
      <c r="N10" s="19" t="n"/>
      <c r="O10" s="21">
        <f>IF(COUNT(K10:N10)=0,"",SUM(K10:N10))</f>
        <v/>
      </c>
      <c r="P10" s="22">
        <f>IFERROR(IF(G10="","",O10/G10),"")</f>
        <v/>
      </c>
      <c r="Q10" s="19" t="n"/>
      <c r="R10" s="19" t="n"/>
      <c r="S10" s="19" t="n"/>
    </row>
    <row r="11" ht="30" customHeight="1">
      <c r="A11" s="16">
        <f>Calendario!A11</f>
        <v/>
      </c>
      <c r="B11" s="17">
        <f>Calendario!B11</f>
        <v/>
      </c>
      <c r="C11" s="16">
        <f>Calendario!E11</f>
        <v/>
      </c>
      <c r="D11" s="16">
        <f>Calendario!F11</f>
        <v/>
      </c>
      <c r="E11" s="18" t="n"/>
      <c r="F11" s="19" t="n"/>
      <c r="G11" s="19" t="n"/>
      <c r="H11" s="20" t="n"/>
      <c r="I11" s="20" t="n"/>
      <c r="J11" s="18" t="n"/>
      <c r="K11" s="19" t="n"/>
      <c r="L11" s="19" t="n"/>
      <c r="M11" s="19" t="n"/>
      <c r="N11" s="19" t="n"/>
      <c r="O11" s="21">
        <f>IF(COUNT(K11:N11)=0,"",SUM(K11:N11))</f>
        <v/>
      </c>
      <c r="P11" s="22">
        <f>IFERROR(IF(G11="","",O11/G11),"")</f>
        <v/>
      </c>
      <c r="Q11" s="19" t="n"/>
      <c r="R11" s="19" t="n"/>
      <c r="S11" s="19" t="n"/>
    </row>
    <row r="12" ht="30" customHeight="1">
      <c r="A12" s="16">
        <f>Calendario!A12</f>
        <v/>
      </c>
      <c r="B12" s="17">
        <f>Calendario!B12</f>
        <v/>
      </c>
      <c r="C12" s="16">
        <f>Calendario!E12</f>
        <v/>
      </c>
      <c r="D12" s="16">
        <f>Calendario!F12</f>
        <v/>
      </c>
      <c r="E12" s="18" t="n"/>
      <c r="F12" s="19" t="n"/>
      <c r="G12" s="19" t="n"/>
      <c r="H12" s="20" t="n"/>
      <c r="I12" s="20" t="n"/>
      <c r="J12" s="18" t="n"/>
      <c r="K12" s="19" t="n"/>
      <c r="L12" s="19" t="n"/>
      <c r="M12" s="21" t="n"/>
      <c r="N12" s="19" t="n"/>
      <c r="O12" s="21">
        <f>IF(COUNT(K12:N12)=0,"",SUM(K12:N12))</f>
        <v/>
      </c>
      <c r="P12" s="22">
        <f>IFERROR(IF(G12="","",O12/G12),"")</f>
        <v/>
      </c>
      <c r="Q12" s="19" t="n"/>
      <c r="R12" s="19" t="n"/>
      <c r="S12" s="19" t="n"/>
    </row>
    <row r="13" ht="30" customHeight="1">
      <c r="A13" s="16">
        <f>Calendario!A13</f>
        <v/>
      </c>
      <c r="B13" s="17">
        <f>Calendario!B13</f>
        <v/>
      </c>
      <c r="C13" s="16">
        <f>Calendario!E13</f>
        <v/>
      </c>
      <c r="D13" s="16">
        <f>Calendario!F13</f>
        <v/>
      </c>
      <c r="E13" s="18" t="n"/>
      <c r="F13" s="19" t="n"/>
      <c r="G13" s="19" t="n"/>
      <c r="H13" s="20" t="n"/>
      <c r="I13" s="20" t="n"/>
      <c r="J13" s="18" t="n"/>
      <c r="K13" s="19" t="n"/>
      <c r="L13" s="19" t="n"/>
      <c r="M13" s="19" t="n"/>
      <c r="N13" s="19" t="n"/>
      <c r="O13" s="21">
        <f>IF(COUNT(K13:N13)=0,"",SUM(K13:N13))</f>
        <v/>
      </c>
      <c r="P13" s="22">
        <f>IFERROR(IF(G13="","",O13/G13),"")</f>
        <v/>
      </c>
      <c r="Q13" s="19" t="n"/>
      <c r="R13" s="19" t="n"/>
      <c r="S13" s="19" t="n"/>
    </row>
    <row r="14" ht="30" customHeight="1">
      <c r="A14" s="16">
        <f>Calendario!A14</f>
        <v/>
      </c>
      <c r="B14" s="17">
        <f>Calendario!B14</f>
        <v/>
      </c>
      <c r="C14" s="16">
        <f>Calendario!E14</f>
        <v/>
      </c>
      <c r="D14" s="16">
        <f>Calendario!F14</f>
        <v/>
      </c>
      <c r="E14" s="18" t="n"/>
      <c r="F14" s="19" t="n"/>
      <c r="G14" s="19" t="n"/>
      <c r="H14" s="20" t="n"/>
      <c r="I14" s="20" t="n"/>
      <c r="J14" s="18" t="n"/>
      <c r="K14" s="19" t="n"/>
      <c r="L14" s="19" t="n"/>
      <c r="M14" s="21" t="n"/>
      <c r="N14" s="19" t="n"/>
      <c r="O14" s="21">
        <f>IF(COUNT(K14:N14)=0,"",SUM(K14:N14))</f>
        <v/>
      </c>
      <c r="P14" s="22">
        <f>IFERROR(IF(G14="","",O14/G14),"")</f>
        <v/>
      </c>
      <c r="Q14" s="19" t="n"/>
      <c r="R14" s="19" t="n"/>
      <c r="S14" s="19" t="n"/>
    </row>
    <row r="15" ht="30" customHeight="1">
      <c r="A15" s="16">
        <f>Calendario!A15</f>
        <v/>
      </c>
      <c r="B15" s="17">
        <f>Calendario!B15</f>
        <v/>
      </c>
      <c r="C15" s="16">
        <f>Calendario!E15</f>
        <v/>
      </c>
      <c r="D15" s="16">
        <f>Calendario!F15</f>
        <v/>
      </c>
      <c r="E15" s="18" t="n"/>
      <c r="F15" s="19" t="n"/>
      <c r="G15" s="19" t="n"/>
      <c r="H15" s="20" t="n"/>
      <c r="I15" s="20" t="n"/>
      <c r="J15" s="18" t="n"/>
      <c r="K15" s="19" t="n"/>
      <c r="L15" s="19" t="n"/>
      <c r="M15" s="19" t="n"/>
      <c r="N15" s="19" t="n"/>
      <c r="O15" s="21">
        <f>IF(COUNT(K15:N15)=0,"",SUM(K15:N15))</f>
        <v/>
      </c>
      <c r="P15" s="22">
        <f>IFERROR(IF(G15="","",O15/G15),"")</f>
        <v/>
      </c>
      <c r="Q15" s="19" t="n"/>
      <c r="R15" s="19" t="n"/>
      <c r="S15" s="19" t="n"/>
    </row>
    <row r="16" ht="30" customHeight="1">
      <c r="A16" s="16">
        <f>Calendario!A16</f>
        <v/>
      </c>
      <c r="B16" s="17">
        <f>Calendario!B16</f>
        <v/>
      </c>
      <c r="C16" s="16">
        <f>Calendario!E16</f>
        <v/>
      </c>
      <c r="D16" s="16">
        <f>Calendario!F16</f>
        <v/>
      </c>
      <c r="E16" s="18" t="n"/>
      <c r="F16" s="19" t="n"/>
      <c r="G16" s="19" t="n"/>
      <c r="H16" s="20" t="n"/>
      <c r="I16" s="20" t="n"/>
      <c r="J16" s="18" t="n"/>
      <c r="K16" s="19" t="n"/>
      <c r="L16" s="19" t="n"/>
      <c r="M16" s="21" t="n"/>
      <c r="N16" s="19" t="n"/>
      <c r="O16" s="21">
        <f>IF(COUNT(K16:N16)=0,"",SUM(K16:N16))</f>
        <v/>
      </c>
      <c r="P16" s="22">
        <f>IFERROR(IF(G16="","",O16/G16),"")</f>
        <v/>
      </c>
      <c r="Q16" s="19" t="n"/>
      <c r="R16" s="19" t="n"/>
      <c r="S16" s="19" t="n"/>
    </row>
    <row r="17">
      <c r="B17" s="23" t="inlineStr">
        <is>
          <t>Total / promedio</t>
        </is>
      </c>
      <c r="F17" s="5">
        <f>SUM(F5:F16)</f>
        <v/>
      </c>
      <c r="G17" s="5">
        <f>SUM(G5:G16)</f>
        <v/>
      </c>
      <c r="H17" s="24">
        <f>IFERROR(AVERAGE(H5:H16),"")</f>
        <v/>
      </c>
      <c r="I17" s="24">
        <f>IFERROR(AVERAGE(I5:I16),"")</f>
        <v/>
      </c>
      <c r="J17" s="25">
        <f>IFERROR(AVERAGE(J5:J16),"")</f>
        <v/>
      </c>
      <c r="K17" s="5">
        <f>SUM(K5:K16)</f>
        <v/>
      </c>
      <c r="L17" s="5">
        <f>SUM(L5:L16)</f>
        <v/>
      </c>
      <c r="M17" s="5">
        <f>SUM(M5:M16)</f>
        <v/>
      </c>
      <c r="N17" s="5">
        <f>SUM(N5:N16)</f>
        <v/>
      </c>
      <c r="O17" s="5">
        <f>SUM(O5:O16)</f>
        <v/>
      </c>
      <c r="P17" s="24">
        <f>IFERROR(IF(G17=0,"",O17/G17),"")</f>
        <v/>
      </c>
      <c r="Q17" s="5">
        <f>SUM(Q5:Q16)</f>
        <v/>
      </c>
      <c r="R17" s="5">
        <f>SUM(R5:R16)</f>
        <v/>
      </c>
      <c r="S17" s="5">
        <f>SUM(S5:S16)</f>
        <v/>
      </c>
    </row>
    <row r="19">
      <c r="B19" s="26" t="inlineStr">
        <is>
          <t>Notas:</t>
        </is>
      </c>
    </row>
    <row r="20">
      <c r="B20" s="27" t="inlineStr">
        <is>
          <t>• Última lectura de Metricool: todavía sin datos (la cuenta se conectó el 15/10/2026).</t>
        </is>
      </c>
    </row>
    <row r="21">
      <c r="B21" s="27" t="inlineStr">
        <is>
          <t>• Vio +3 s (Instagram): % de vistas que pasaron de los 3 primeros segundos; mide el gancho. Vio completo (TikTok): % que vio todo el video.</t>
        </is>
      </c>
    </row>
    <row r="22">
      <c r="B22" s="27" t="inlineStr">
        <is>
          <t>• % visto: parte del video que se ve en promedio. Interacciones = Me gusta + Comentarios + Guardados + Compartidos. Tasa = Interacciones ÷ Alcance.</t>
        </is>
      </c>
    </row>
    <row r="23">
      <c r="B23" s="27" t="inlineStr">
        <is>
          <t>• Seguidores 48 h: ganados el día de la publicación y el siguiente. TikTok no informa 'Guardados' por Metricool.</t>
        </is>
      </c>
    </row>
    <row r="24">
      <c r="B24" s="27" t="inlineStr">
        <is>
          <t>• Mensajes y clientes: cuéntale a Claude cuando te escriba alguien y de qué video viene; son los números que de verdad importan.</t>
        </is>
      </c>
    </row>
    <row r="25">
      <c r="B25" s="27" t="inlineStr">
        <is>
          <t>• Lo aprendido de cada video está en marca/guia-videos.md.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2026-10-16T16:57:00Z</dcterms:created>
  <dcterms:modified xmlns:dcterms="http://purl.org/dc/terms/" xmlns:xsi="http://www.w3.org/2001/XMLSchema-instance" xsi:type="dcterms:W3CDTF">2026-10-16T16:57:00Z</dcterms:modified>
</cp:coreProperties>
</file>