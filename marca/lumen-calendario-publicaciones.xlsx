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alendario" sheetId="2" state="visible" r:id="rId4"/>
    <sheet name="Resultados" sheetId="3" state="visible" r:id="rId5"/>
  </sheets>
  <definedNames>
    <definedName function="false" hidden="true" localSheetId="1" name="_xlnm._FilterDatabase" vbProcedure="false">Calendario!$A$4:$K$10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<sst xmlns="http://schemas.openxmlformats.org/spreadsheetml/2006/main" count="111" uniqueCount="77">
  <si>
    <t xml:space="preserve">Resumen</t>
  </si>
  <si>
    <t xml:space="preserve">Se actualiza solo con lo que pongas en Calendario y Resultados.</t>
  </si>
  <si>
    <t xml:space="preserve">Videos creados</t>
  </si>
  <si>
    <t xml:space="preserve">Publicaciones totales</t>
  </si>
  <si>
    <t xml:space="preserve">Publicadas</t>
  </si>
  <si>
    <t xml:space="preserve">Programadas</t>
  </si>
  <si>
    <t xml:space="preserve">En Instagram</t>
  </si>
  <si>
    <t xml:space="preserve">En TikTok</t>
  </si>
  <si>
    <t xml:space="preserve">Vistas totales</t>
  </si>
  <si>
    <t xml:space="preserve">Mensajes recibidos</t>
  </si>
  <si>
    <t xml:space="preserve">Clientes que cotizaron</t>
  </si>
  <si>
    <t xml:space="preserve">Créditos de voz (Higgsfield)</t>
  </si>
  <si>
    <t xml:space="preserve">Créditos disponibles</t>
  </si>
  <si>
    <t xml:space="preserve">Costo por video (aprox.)</t>
  </si>
  <si>
    <t xml:space="preserve">Videos que alcanzan</t>
  </si>
  <si>
    <t xml:space="preserve">Fuente: saldo de tu cuenta de Higgsfield (15/10/2026) y costo cotizado por la voz de ~30 s.</t>
  </si>
  <si>
    <t xml:space="preserve">Lumen Web Design · Calendario de publicaciones</t>
  </si>
  <si>
    <t xml:space="preserve">Horas en hora de Venezuela. Publicación automática con Metricool. Todos los videos van marcados como contenido hecho con IA.</t>
  </si>
  <si>
    <t xml:space="preserve">N°</t>
  </si>
  <si>
    <t xml:space="preserve">Video</t>
  </si>
  <si>
    <t xml:space="preserve">Fecha</t>
  </si>
  <si>
    <t xml:space="preserve">Hora</t>
  </si>
  <si>
    <t xml:space="preserve">Red</t>
  </si>
  <si>
    <t xml:space="preserve">Estado</t>
  </si>
  <si>
    <t xml:space="preserve">Enlace</t>
  </si>
  <si>
    <t xml:space="preserve">Descripción</t>
  </si>
  <si>
    <t xml:space="preserve">Hashtags</t>
  </si>
  <si>
    <t xml:space="preserve">Archivo (Videos\Lumen)</t>
  </si>
  <si>
    <t xml:space="preserve">Portada</t>
  </si>
  <si>
    <t xml:space="preserve">Presentación de Lumen</t>
  </si>
  <si>
    <t xml:space="preserve">jue 15/10/2026</t>
  </si>
  <si>
    <t xml:space="preserve">1:50 pm</t>
  </si>
  <si>
    <t xml:space="preserve">Instagram</t>
  </si>
  <si>
    <t xml:space="preserve">Publicado</t>
  </si>
  <si>
    <t xml:space="preserve">Ver publicación</t>
  </si>
  <si>
    <t xml:space="preserve">Hola, soy Angel 👋 y esto es Lumen Web Design.
Creo páginas web modernas y minimalistas para negocios que quieren crecer: pedidos online, reservas y un diseño perfecto para el teléfono.
📍 Desde Aragua, Venezuela, para todo el país y el exterior.
¿Tu negocio aún no tiene web? Escríbeme por WhatsApp, el enlace está en mi biografía 💬
Lumen: le damos luz a tu negocio ✨</t>
  </si>
  <si>
    <t xml:space="preserve">#diseñoweb #paginasweb #webdesign #emprendedoresvenezolanos #aragua #maracay #venezuela #negociosvenezuela #marketingdigital #emprendimiento</t>
  </si>
  <si>
    <t xml:space="preserve">lumen-reel-01-presentacion.mp4</t>
  </si>
  <si>
    <t xml:space="preserve">Logo (seg. 3)</t>
  </si>
  <si>
    <t xml:space="preserve">3:46 pm</t>
  </si>
  <si>
    <t xml:space="preserve">TikTok</t>
  </si>
  <si>
    <t xml:space="preserve">Hola, soy Angel 👋 Diseño páginas web para negocios de Venezuela y del exterior. Si tu negocio aún no tiene web, escríbeme por mensaje directo y te ayudo 💬</t>
  </si>
  <si>
    <t xml:space="preserve">#diseñoweb #paginasweb #emprendedoresvenezolanos #aragua #venezuela</t>
  </si>
  <si>
    <t xml:space="preserve">Primer fotograma</t>
  </si>
  <si>
    <t xml:space="preserve">Web moderna en el teléfono</t>
  </si>
  <si>
    <t xml:space="preserve">sáb 17/10/2026</t>
  </si>
  <si>
    <t xml:space="preserve">11:00 am</t>
  </si>
  <si>
    <t xml:space="preserve">Programado</t>
  </si>
  <si>
    <t xml:space="preserve">Se genera al publicarse</t>
  </si>
  <si>
    <t xml:space="preserve">Si tu negocio no se ve bien en el teléfono, ese cliente se va con la competencia en dos segundos 📉
El café del video es solo un ejemplo: tu web lleva tu logo, tus colores, tus fotos y tus productos reales 🎨
¿Qué te gustaría que tuviera la web de tu negocio? Te leo en los comentarios 👇 o escríbeme por WhatsApp desde el enlace de mi biografía.</t>
  </si>
  <si>
    <t xml:space="preserve">lumen-reel-02-web-en-el-telefono.mp4</t>
  </si>
  <si>
    <t xml:space="preserve">"Así se ve una web moderna"</t>
  </si>
  <si>
    <t xml:space="preserve">El café del video es solo un ejemplo: tu web lleva tu logo, tus colores y tus productos reales 🎨 ¿Qué te gustaría que tuviera la web de tu negocio? Cuéntame en los comentarios o por mensaje directo 👇</t>
  </si>
  <si>
    <t xml:space="preserve">#diseñoweb #paginasweb #emprendedoresvenezolanos #venezuela #negocios</t>
  </si>
  <si>
    <t xml:space="preserve">¿Cuánto cuesta una página web?</t>
  </si>
  <si>
    <t xml:space="preserve">lun 19/10/2026</t>
  </si>
  <si>
    <t xml:space="preserve">Todos los paquetes incluyen ✨
📱 Diseño que se ve perfecto en celular, tablet y computadora
💬 Botón de WhatsApp para que te escriban al instante
🔎 Optimización básica para aparecer en Google
🎓 Te enseño a manejar tu página
🎁 2 semanas de mantenimiento gratis
¿Cuál paquete le vendría mejor a tu negocio? Cuéntame en los comentarios 👇 o escríbeme por WhatsApp desde el enlace de mi biografía.</t>
  </si>
  <si>
    <t xml:space="preserve">lumen-reel-03-cuanto-cuesta-una-web.mp4</t>
  </si>
  <si>
    <t xml:space="preserve">Tarjeta paquete Completo</t>
  </si>
  <si>
    <t xml:space="preserve">Todos los paquetes incluyen diseño para celular y computadora, botón de WhatsApp, optimización para Google, capacitación y 2 semanas de mantenimiento gratis ✨ ¿Cuál le vendría mejor a tu negocio? Escríbeme por mensaje directo y te hago tu cotización 💬</t>
  </si>
  <si>
    <t xml:space="preserve">#diseñoweb #paginasweb #emprendedoresvenezolanos #venezuela #emprendimiento</t>
  </si>
  <si>
    <t xml:space="preserve">Resultados por publicación</t>
  </si>
  <si>
    <t xml:space="preserve">Celdas amarillas: escribe los números de Metricool o de la app. Las columnas grises se calculan solas.</t>
  </si>
  <si>
    <t xml:space="preserve">Vistas</t>
  </si>
  <si>
    <t xml:space="preserve">Alcance</t>
  </si>
  <si>
    <t xml:space="preserve">Me gusta</t>
  </si>
  <si>
    <t xml:space="preserve">Comentarios</t>
  </si>
  <si>
    <t xml:space="preserve">Guardados</t>
  </si>
  <si>
    <t xml:space="preserve">Compartidos</t>
  </si>
  <si>
    <t xml:space="preserve">Interacciones</t>
  </si>
  <si>
    <t xml:space="preserve">Tasa de interacción</t>
  </si>
  <si>
    <t xml:space="preserve">Total</t>
  </si>
  <si>
    <t xml:space="preserve">Notas:</t>
  </si>
  <si>
    <t xml:space="preserve">• Metricool todavía no muestra estadísticas (cuenta conectada hoy); suelen aparecer en unas 24 horas.</t>
  </si>
  <si>
    <t xml:space="preserve">• Interacciones = Me gusta + Comentarios + Guardados + Compartidos. Tasa de interacción = Interacciones ÷ Alcance.</t>
  </si>
  <si>
    <t xml:space="preserve">• TikTok no informa 'Guardados' por Metricool, por eso esa celda está en gris.</t>
  </si>
  <si>
    <t xml:space="preserve">• Mensajes recibidos y Clientes que cotizaron: llévalos tú a mano; son los números que de verdad importan para vender.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</si>
</sst>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#,##0"/>
    <numFmt numFmtId="167" formatCode="0.00"/>
    <numFmt numFmtId="168" formatCode="General"/>
    <numFmt numFmtId="169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82F34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082F34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b val="true"/>
      <sz val="11"/>
      <color rgb="FF082F34"/>
      <name val="Arial"/>
      <family val="0"/>
      <charset val="1"/>
    </font>
    <font>
      <sz val="10"/>
      <color rgb="FF0F172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color rgb="FF64748B"/>
      <name val="Arial"/>
      <family val="0"/>
      <charset val="1"/>
    </font>
    <font>
      <sz val="9"/>
      <color rgb="FF64748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CFBF1"/>
        <bgColor rgb="FFE0F2FE"/>
      </patternFill>
    </fill>
    <fill>
      <patternFill patternType="solid">
        <fgColor rgb="FFFFF9C4"/>
        <bgColor rgb="FFF1F5F9"/>
      </patternFill>
    </fill>
    <fill>
      <patternFill patternType="solid">
        <fgColor rgb="FF082F34"/>
        <bgColor rgb="FF0F172A"/>
      </patternFill>
    </fill>
    <fill>
      <patternFill patternType="solid">
        <fgColor rgb="FFF1F5F9"/>
        <bgColor rgb="FFE0F2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082F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075985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ont>
        <name val="Arial"/>
        <charset val="1"/>
        <family val="0"/>
        <b val="1"/>
        <color rgb="FF0F766E"/>
      </font>
      <fill>
        <patternFill>
          <bgColor rgb="FFCCFBF1"/>
        </patternFill>
      </fill>
    </dxf>
    <dxf>
      <font>
        <name val="Arial"/>
        <charset val="1"/>
        <family val="0"/>
        <b val="1"/>
        <color rgb="FF075985"/>
      </font>
      <fill>
        <patternFill>
          <bgColor rgb="FFE0F2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CCFBF1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75985"/>
      <rgbColor rgb="FF0000FF"/>
      <rgbColor rgb="FF00CCFF"/>
      <rgbColor rgb="FFE0F2FE"/>
      <rgbColor rgb="FFE2E8F0"/>
      <rgbColor rgb="FFF1F5F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82F34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instagram.com/reel/DehiSD7DYrn/" TargetMode="External"/><Relationship Id="rId2" Type="http://schemas.openxmlformats.org/officeDocument/2006/relationships/hyperlink" Target="https://www.tiktok.com/@Lumen%20Web%20Design/video/7696983331849686293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MAX(Calendario!A5:A100)</f>
        <v>3</v>
      </c>
    </row>
    <row r="5" customFormat="false" ht="15" hidden="false" customHeight="false" outlineLevel="0" collapsed="false">
      <c r="A5" s="3" t="s">
        <v>3</v>
      </c>
      <c r="B5" s="4" t="n">
        <f aca="false">COUNTA(Calendario!E5:E100)</f>
        <v>6</v>
      </c>
    </row>
    <row r="6" customFormat="false" ht="15" hidden="false" customHeight="false" outlineLevel="0" collapsed="false">
      <c r="A6" s="3" t="s">
        <v>4</v>
      </c>
      <c r="B6" s="4" t="n">
        <f aca="false">COUNTIF(Calendario!F5:F100,"Publicado")</f>
        <v>2</v>
      </c>
    </row>
    <row r="7" customFormat="false" ht="15" hidden="false" customHeight="false" outlineLevel="0" collapsed="false">
      <c r="A7" s="3" t="s">
        <v>5</v>
      </c>
      <c r="B7" s="4" t="n">
        <f aca="false">COUNTIF(Calendario!F5:F100,"Programado")</f>
        <v>4</v>
      </c>
    </row>
    <row r="8" customFormat="false" ht="15" hidden="false" customHeight="false" outlineLevel="0" collapsed="false">
      <c r="A8" s="3" t="s">
        <v>6</v>
      </c>
      <c r="B8" s="4" t="n">
        <f aca="false">COUNTIF(Calendario!E5:E100,"Instagram")</f>
        <v>3</v>
      </c>
    </row>
    <row r="9" customFormat="false" ht="15" hidden="false" customHeight="false" outlineLevel="0" collapsed="false">
      <c r="A9" s="3" t="s">
        <v>7</v>
      </c>
      <c r="B9" s="4" t="n">
        <f aca="false">COUNTIF(Calendario!E5:E100,"TikTok")</f>
        <v>3</v>
      </c>
    </row>
    <row r="10" customFormat="false" ht="15" hidden="false" customHeight="false" outlineLevel="0" collapsed="false">
      <c r="A10" s="3" t="s">
        <v>8</v>
      </c>
      <c r="B10" s="5" t="n">
        <f aca="false">Resultados!E11</f>
        <v>0</v>
      </c>
    </row>
    <row r="11" customFormat="false" ht="15" hidden="false" customHeight="false" outlineLevel="0" collapsed="false">
      <c r="A11" s="3" t="s">
        <v>9</v>
      </c>
      <c r="B11" s="5" t="n">
        <f aca="false">Resultados!M11</f>
        <v>0</v>
      </c>
    </row>
    <row r="12" customFormat="false" ht="15" hidden="false" customHeight="false" outlineLevel="0" collapsed="false">
      <c r="A12" s="3" t="s">
        <v>10</v>
      </c>
      <c r="B12" s="5" t="n">
        <f aca="false">Resultados!N11</f>
        <v>0</v>
      </c>
    </row>
    <row r="14" customFormat="false" ht="15" hidden="false" customHeight="false" outlineLevel="0" collapsed="false">
      <c r="A14" s="6" t="s">
        <v>11</v>
      </c>
    </row>
    <row r="15" customFormat="false" ht="15" hidden="false" customHeight="false" outlineLevel="0" collapsed="false">
      <c r="A15" s="7" t="s">
        <v>12</v>
      </c>
      <c r="B15" s="8" t="n">
        <v>4.9</v>
      </c>
    </row>
    <row r="16" customFormat="false" ht="15" hidden="false" customHeight="false" outlineLevel="0" collapsed="false">
      <c r="A16" s="7" t="s">
        <v>13</v>
      </c>
      <c r="B16" s="8" t="n">
        <v>1.35</v>
      </c>
    </row>
    <row r="17" customFormat="false" ht="15" hidden="false" customHeight="false" outlineLevel="0" collapsed="false">
      <c r="A17" s="7" t="s">
        <v>14</v>
      </c>
      <c r="B17" s="9" t="n">
        <f aca="false">IFERROR(INT(B15/B16),0)</f>
        <v>3</v>
      </c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30"/>
    <col collapsed="false" customWidth="true" hidden="false" outlineLevel="0" max="8" min="8" style="0" width="60"/>
    <col collapsed="false" customWidth="true" hidden="false" outlineLevel="0" max="10" min="9" style="0" width="34"/>
    <col collapsed="false" customWidth="true" hidden="false" outlineLevel="0" max="11" min="11" style="0" width="22"/>
  </cols>
  <sheetData>
    <row r="1" customFormat="false" ht="19.7" hidden="false" customHeight="false" outlineLevel="0" collapsed="false">
      <c r="A1" s="1" t="s">
        <v>16</v>
      </c>
    </row>
    <row r="2" customFormat="false" ht="15" hidden="false" customHeight="false" outlineLevel="0" collapsed="false">
      <c r="A2" s="2" t="s">
        <v>17</v>
      </c>
    </row>
    <row r="4" customFormat="false" ht="30" hidden="false" customHeight="true" outlineLevel="0" collapsed="false">
      <c r="A4" s="10" t="s">
        <v>18</v>
      </c>
      <c r="B4" s="10" t="s">
        <v>19</v>
      </c>
      <c r="C4" s="10" t="s">
        <v>20</v>
      </c>
      <c r="D4" s="10" t="s">
        <v>21</v>
      </c>
      <c r="E4" s="10" t="s">
        <v>22</v>
      </c>
      <c r="F4" s="10" t="s">
        <v>23</v>
      </c>
      <c r="G4" s="10" t="s">
        <v>24</v>
      </c>
      <c r="H4" s="10" t="s">
        <v>25</v>
      </c>
      <c r="I4" s="10" t="s">
        <v>26</v>
      </c>
      <c r="J4" s="10" t="s">
        <v>27</v>
      </c>
      <c r="K4" s="10" t="s">
        <v>28</v>
      </c>
    </row>
    <row r="5" customFormat="false" ht="150" hidden="false" customHeight="true" outlineLevel="0" collapsed="false">
      <c r="A5" s="11" t="n">
        <v>1</v>
      </c>
      <c r="B5" s="12" t="s">
        <v>29</v>
      </c>
      <c r="C5" s="11" t="s">
        <v>30</v>
      </c>
      <c r="D5" s="11" t="s">
        <v>31</v>
      </c>
      <c r="E5" s="13" t="s">
        <v>32</v>
      </c>
      <c r="F5" s="11" t="s">
        <v>33</v>
      </c>
      <c r="G5" s="14" t="s">
        <v>34</v>
      </c>
      <c r="H5" s="12" t="s">
        <v>35</v>
      </c>
      <c r="I5" s="12" t="s">
        <v>36</v>
      </c>
      <c r="J5" s="12" t="s">
        <v>37</v>
      </c>
      <c r="K5" s="12" t="s">
        <v>38</v>
      </c>
    </row>
    <row r="6" customFormat="false" ht="79.5" hidden="false" customHeight="true" outlineLevel="0" collapsed="false">
      <c r="A6" s="11" t="n">
        <v>1</v>
      </c>
      <c r="B6" s="12" t="s">
        <v>29</v>
      </c>
      <c r="C6" s="11" t="s">
        <v>30</v>
      </c>
      <c r="D6" s="11" t="s">
        <v>39</v>
      </c>
      <c r="E6" s="13" t="s">
        <v>40</v>
      </c>
      <c r="F6" s="11" t="s">
        <v>33</v>
      </c>
      <c r="G6" s="14" t="s">
        <v>34</v>
      </c>
      <c r="H6" s="12" t="s">
        <v>41</v>
      </c>
      <c r="I6" s="12" t="s">
        <v>42</v>
      </c>
      <c r="J6" s="12" t="s">
        <v>37</v>
      </c>
      <c r="K6" s="12" t="s">
        <v>43</v>
      </c>
    </row>
    <row r="7" customFormat="false" ht="150" hidden="false" customHeight="true" outlineLevel="0" collapsed="false">
      <c r="A7" s="11" t="n">
        <v>2</v>
      </c>
      <c r="B7" s="12" t="s">
        <v>44</v>
      </c>
      <c r="C7" s="11" t="s">
        <v>45</v>
      </c>
      <c r="D7" s="11" t="s">
        <v>46</v>
      </c>
      <c r="E7" s="13" t="s">
        <v>32</v>
      </c>
      <c r="F7" s="11" t="s">
        <v>47</v>
      </c>
      <c r="G7" s="15" t="s">
        <v>48</v>
      </c>
      <c r="H7" s="12" t="s">
        <v>49</v>
      </c>
      <c r="I7" s="12" t="s">
        <v>36</v>
      </c>
      <c r="J7" s="12" t="s">
        <v>50</v>
      </c>
      <c r="K7" s="12" t="s">
        <v>51</v>
      </c>
    </row>
    <row r="8" customFormat="false" ht="79.5" hidden="false" customHeight="true" outlineLevel="0" collapsed="false">
      <c r="A8" s="11" t="n">
        <v>2</v>
      </c>
      <c r="B8" s="12" t="s">
        <v>44</v>
      </c>
      <c r="C8" s="11" t="s">
        <v>45</v>
      </c>
      <c r="D8" s="11" t="s">
        <v>46</v>
      </c>
      <c r="E8" s="13" t="s">
        <v>40</v>
      </c>
      <c r="F8" s="11" t="s">
        <v>47</v>
      </c>
      <c r="G8" s="15" t="s">
        <v>48</v>
      </c>
      <c r="H8" s="12" t="s">
        <v>52</v>
      </c>
      <c r="I8" s="12" t="s">
        <v>53</v>
      </c>
      <c r="J8" s="12" t="s">
        <v>50</v>
      </c>
      <c r="K8" s="12" t="s">
        <v>43</v>
      </c>
    </row>
    <row r="9" customFormat="false" ht="150" hidden="false" customHeight="true" outlineLevel="0" collapsed="false">
      <c r="A9" s="11" t="n">
        <v>3</v>
      </c>
      <c r="B9" s="12" t="s">
        <v>54</v>
      </c>
      <c r="C9" s="11" t="s">
        <v>55</v>
      </c>
      <c r="D9" s="11" t="s">
        <v>46</v>
      </c>
      <c r="E9" s="13" t="s">
        <v>32</v>
      </c>
      <c r="F9" s="11" t="s">
        <v>47</v>
      </c>
      <c r="G9" s="15" t="s">
        <v>48</v>
      </c>
      <c r="H9" s="12" t="s">
        <v>56</v>
      </c>
      <c r="I9" s="12" t="s">
        <v>36</v>
      </c>
      <c r="J9" s="12" t="s">
        <v>57</v>
      </c>
      <c r="K9" s="12" t="s">
        <v>58</v>
      </c>
    </row>
    <row r="10" customFormat="false" ht="79.5" hidden="false" customHeight="true" outlineLevel="0" collapsed="false">
      <c r="A10" s="11" t="n">
        <v>3</v>
      </c>
      <c r="B10" s="12" t="s">
        <v>54</v>
      </c>
      <c r="C10" s="11" t="s">
        <v>55</v>
      </c>
      <c r="D10" s="11" t="s">
        <v>46</v>
      </c>
      <c r="E10" s="13" t="s">
        <v>40</v>
      </c>
      <c r="F10" s="11" t="s">
        <v>47</v>
      </c>
      <c r="G10" s="15" t="s">
        <v>48</v>
      </c>
      <c r="H10" s="12" t="s">
        <v>59</v>
      </c>
      <c r="I10" s="12" t="s">
        <v>60</v>
      </c>
      <c r="J10" s="12" t="s">
        <v>57</v>
      </c>
      <c r="K10" s="12" t="s">
        <v>43</v>
      </c>
    </row>
  </sheetData>
  <autoFilter ref="A4:K10"/>
  <conditionalFormatting sqref="F5:F10">
    <cfRule type="expression" priority="2" aboveAverage="0" equalAverage="0" bottom="0" percent="0" rank="0" text="" dxfId="10">
      <formula>$F5="Publicado"</formula>
    </cfRule>
    <cfRule type="expression" priority="3" aboveAverage="0" equalAverage="0" bottom="0" percent="0" rank="0" text="" dxfId="11">
      <formula>$F5="Programado"</formula>
    </cfRule>
  </conditionalFormatting>
  <dataValidations count="1">
    <dataValidation allowBlank="true" errorStyle="stop" operator="between" showDropDown="false" showErrorMessage="false" showInputMessage="false" sqref="F5:F10" type="list">
      <formula1>"Publicado,Programado,Pendiente,Borrador"</formula1>
      <formula2>0</formula2>
    </dataValidation>
  </dataValidations>
  <hyperlinks>
    <hyperlink ref="G5" r:id="rId1" display="Ver publicación"/>
    <hyperlink ref="G6" r:id="rId2" display="Ver publicació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2" min="11" style="0" width="13"/>
    <col collapsed="false" customWidth="true" hidden="false" outlineLevel="0" max="13" min="13" style="0" width="12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30" hidden="false" customHeight="true" outlineLevel="0" collapsed="false">
      <c r="A4" s="10" t="s">
        <v>18</v>
      </c>
      <c r="B4" s="10" t="s">
        <v>19</v>
      </c>
      <c r="C4" s="10" t="s">
        <v>22</v>
      </c>
      <c r="D4" s="10" t="s">
        <v>23</v>
      </c>
      <c r="E4" s="10" t="s">
        <v>63</v>
      </c>
      <c r="F4" s="10" t="s">
        <v>64</v>
      </c>
      <c r="G4" s="10" t="s">
        <v>65</v>
      </c>
      <c r="H4" s="10" t="s">
        <v>66</v>
      </c>
      <c r="I4" s="10" t="s">
        <v>67</v>
      </c>
      <c r="J4" s="10" t="s">
        <v>68</v>
      </c>
      <c r="K4" s="10" t="s">
        <v>69</v>
      </c>
      <c r="L4" s="10" t="s">
        <v>70</v>
      </c>
      <c r="M4" s="10" t="s">
        <v>9</v>
      </c>
      <c r="N4" s="10" t="s">
        <v>10</v>
      </c>
    </row>
    <row r="5" customFormat="false" ht="30" hidden="false" customHeight="true" outlineLevel="0" collapsed="false">
      <c r="A5" s="16" t="n">
        <f aca="false">Calendario!A5</f>
        <v>1</v>
      </c>
      <c r="B5" s="17" t="str">
        <f aca="false">Calendario!B5</f>
        <v>Presentación de Lumen</v>
      </c>
      <c r="C5" s="16" t="str">
        <f aca="false">Calendario!E5</f>
        <v>Instagram</v>
      </c>
      <c r="D5" s="16" t="str">
        <f aca="false">Calendario!F5</f>
        <v>Publicado</v>
      </c>
      <c r="E5" s="18"/>
      <c r="F5" s="18"/>
      <c r="G5" s="18"/>
      <c r="H5" s="18"/>
      <c r="I5" s="18"/>
      <c r="J5" s="18"/>
      <c r="K5" s="19" t="str">
        <f aca="false">IF(COUNT(G5:J5)=0,"",SUM(G5:J5))</f>
        <v/>
      </c>
      <c r="L5" s="20" t="str">
        <f aca="false">IFERROR(IF(F5="","",K5/F5),"")</f>
        <v/>
      </c>
      <c r="M5" s="21"/>
      <c r="N5" s="21"/>
    </row>
    <row r="6" customFormat="false" ht="30" hidden="false" customHeight="true" outlineLevel="0" collapsed="false">
      <c r="A6" s="16" t="n">
        <f aca="false">Calendario!A6</f>
        <v>1</v>
      </c>
      <c r="B6" s="17" t="str">
        <f aca="false">Calendario!B6</f>
        <v>Presentación de Lumen</v>
      </c>
      <c r="C6" s="16" t="str">
        <f aca="false">Calendario!E6</f>
        <v>TikTok</v>
      </c>
      <c r="D6" s="16" t="str">
        <f aca="false">Calendario!F6</f>
        <v>Publicado</v>
      </c>
      <c r="E6" s="18"/>
      <c r="F6" s="18"/>
      <c r="G6" s="18"/>
      <c r="H6" s="18"/>
      <c r="I6" s="22"/>
      <c r="J6" s="18"/>
      <c r="K6" s="19" t="str">
        <f aca="false">IF(COUNT(G6:J6)=0,"",SUM(G6:J6))</f>
        <v/>
      </c>
      <c r="L6" s="20" t="str">
        <f aca="false">IFERROR(IF(F6="","",K6/F6),"")</f>
        <v/>
      </c>
      <c r="M6" s="21"/>
      <c r="N6" s="21"/>
    </row>
    <row r="7" customFormat="false" ht="30" hidden="false" customHeight="true" outlineLevel="0" collapsed="false">
      <c r="A7" s="16" t="n">
        <f aca="false">Calendario!A7</f>
        <v>2</v>
      </c>
      <c r="B7" s="17" t="str">
        <f aca="false">Calendario!B7</f>
        <v>Web moderna en el teléfono</v>
      </c>
      <c r="C7" s="16" t="str">
        <f aca="false">Calendario!E7</f>
        <v>Instagram</v>
      </c>
      <c r="D7" s="16" t="str">
        <f aca="false">Calendario!F7</f>
        <v>Programado</v>
      </c>
      <c r="E7" s="18"/>
      <c r="F7" s="18"/>
      <c r="G7" s="18"/>
      <c r="H7" s="18"/>
      <c r="I7" s="18"/>
      <c r="J7" s="18"/>
      <c r="K7" s="19" t="str">
        <f aca="false">IF(COUNT(G7:J7)=0,"",SUM(G7:J7))</f>
        <v/>
      </c>
      <c r="L7" s="20" t="str">
        <f aca="false">IFERROR(IF(F7="","",K7/F7),"")</f>
        <v/>
      </c>
      <c r="M7" s="21"/>
      <c r="N7" s="21"/>
    </row>
    <row r="8" customFormat="false" ht="30" hidden="false" customHeight="true" outlineLevel="0" collapsed="false">
      <c r="A8" s="16" t="n">
        <f aca="false">Calendario!A8</f>
        <v>2</v>
      </c>
      <c r="B8" s="17" t="str">
        <f aca="false">Calendario!B8</f>
        <v>Web moderna en el teléfono</v>
      </c>
      <c r="C8" s="16" t="str">
        <f aca="false">Calendario!E8</f>
        <v>TikTok</v>
      </c>
      <c r="D8" s="16" t="str">
        <f aca="false">Calendario!F8</f>
        <v>Programado</v>
      </c>
      <c r="E8" s="18"/>
      <c r="F8" s="18"/>
      <c r="G8" s="18"/>
      <c r="H8" s="18"/>
      <c r="I8" s="22"/>
      <c r="J8" s="18"/>
      <c r="K8" s="19" t="str">
        <f aca="false">IF(COUNT(G8:J8)=0,"",SUM(G8:J8))</f>
        <v/>
      </c>
      <c r="L8" s="20" t="str">
        <f aca="false">IFERROR(IF(F8="","",K8/F8),"")</f>
        <v/>
      </c>
      <c r="M8" s="21"/>
      <c r="N8" s="21"/>
    </row>
    <row r="9" customFormat="false" ht="30" hidden="false" customHeight="true" outlineLevel="0" collapsed="false">
      <c r="A9" s="16" t="n">
        <f aca="false">Calendario!A9</f>
        <v>3</v>
      </c>
      <c r="B9" s="17" t="str">
        <f aca="false">Calendario!B9</f>
        <v>¿Cuánto cuesta una página web?</v>
      </c>
      <c r="C9" s="16" t="str">
        <f aca="false">Calendario!E9</f>
        <v>Instagram</v>
      </c>
      <c r="D9" s="16" t="str">
        <f aca="false">Calendario!F9</f>
        <v>Programado</v>
      </c>
      <c r="E9" s="18"/>
      <c r="F9" s="18"/>
      <c r="G9" s="18"/>
      <c r="H9" s="18"/>
      <c r="I9" s="18"/>
      <c r="J9" s="18"/>
      <c r="K9" s="19" t="str">
        <f aca="false">IF(COUNT(G9:J9)=0,"",SUM(G9:J9))</f>
        <v/>
      </c>
      <c r="L9" s="20" t="str">
        <f aca="false">IFERROR(IF(F9="","",K9/F9),"")</f>
        <v/>
      </c>
      <c r="M9" s="21"/>
      <c r="N9" s="21"/>
    </row>
    <row r="10" customFormat="false" ht="30" hidden="false" customHeight="true" outlineLevel="0" collapsed="false">
      <c r="A10" s="16" t="n">
        <f aca="false">Calendario!A10</f>
        <v>3</v>
      </c>
      <c r="B10" s="17" t="str">
        <f aca="false">Calendario!B10</f>
        <v>¿Cuánto cuesta una página web?</v>
      </c>
      <c r="C10" s="16" t="str">
        <f aca="false">Calendario!E10</f>
        <v>TikTok</v>
      </c>
      <c r="D10" s="16" t="str">
        <f aca="false">Calendario!F10</f>
        <v>Programado</v>
      </c>
      <c r="E10" s="18"/>
      <c r="F10" s="18"/>
      <c r="G10" s="18"/>
      <c r="H10" s="18"/>
      <c r="I10" s="22"/>
      <c r="J10" s="18"/>
      <c r="K10" s="19" t="str">
        <f aca="false">IF(COUNT(G10:J10)=0,"",SUM(G10:J10))</f>
        <v/>
      </c>
      <c r="L10" s="20" t="str">
        <f aca="false">IFERROR(IF(F10="","",K10/F10),"")</f>
        <v/>
      </c>
      <c r="M10" s="21"/>
      <c r="N10" s="21"/>
    </row>
    <row r="11" customFormat="false" ht="15" hidden="false" customHeight="false" outlineLevel="0" collapsed="false">
      <c r="B11" s="23" t="s">
        <v>71</v>
      </c>
      <c r="E11" s="5" t="n">
        <f aca="false">SUM(E5:E10)</f>
        <v>0</v>
      </c>
      <c r="F11" s="5" t="n">
        <f aca="false">SUM(F5:F10)</f>
        <v>0</v>
      </c>
      <c r="G11" s="5" t="n">
        <f aca="false">SUM(G5:G10)</f>
        <v>0</v>
      </c>
      <c r="H11" s="5" t="n">
        <f aca="false">SUM(H5:H10)</f>
        <v>0</v>
      </c>
      <c r="I11" s="5" t="n">
        <f aca="false">SUM(I5:I10)</f>
        <v>0</v>
      </c>
      <c r="J11" s="5" t="n">
        <f aca="false">SUM(J5:J10)</f>
        <v>0</v>
      </c>
      <c r="K11" s="5" t="n">
        <f aca="false">SUM(K5:K10)</f>
        <v>0</v>
      </c>
      <c r="L11" s="24" t="str">
        <f aca="false">IFERROR(IF(F11=0,"",K11/F11),"")</f>
        <v/>
      </c>
      <c r="M11" s="5" t="n">
        <f aca="false">SUM(M5:M10)</f>
        <v>0</v>
      </c>
      <c r="N11" s="5" t="n">
        <f aca="false">SUM(N5:N10)</f>
        <v>0</v>
      </c>
    </row>
    <row r="13" customFormat="false" ht="15" hidden="false" customHeight="false" outlineLevel="0" collapsed="false">
      <c r="B13" s="25" t="s">
        <v>72</v>
      </c>
    </row>
    <row r="14" customFormat="false" ht="15" hidden="false" customHeight="false" outlineLevel="0" collapsed="false">
      <c r="B14" s="26" t="s">
        <v>73</v>
      </c>
    </row>
    <row r="15" customFormat="false" ht="15" hidden="false" customHeight="false" outlineLevel="0" collapsed="false">
      <c r="B15" s="26" t="s">
        <v>74</v>
      </c>
    </row>
    <row r="16" customFormat="false" ht="15" hidden="false" customHeight="false" outlineLevel="0" collapsed="false">
      <c r="B16" s="26" t="s">
        <v>75</v>
      </c>
    </row>
    <row r="17" customFormat="false" ht="15" hidden="false" customHeight="false" outlineLevel="0" collapsed="false">
      <c r="B17" s="26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2026-10-15T20:35:58Z</dcterms:created>
  <dc:creator>openpyxl</dc:creator>
  <dc:description/>
  <dc:language>en-US</dc:language>
  <cp:lastModifiedBy/>
  <dcterms:modified xsi:type="dcterms:W3CDTF">2026-10-15T20:35:58Z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